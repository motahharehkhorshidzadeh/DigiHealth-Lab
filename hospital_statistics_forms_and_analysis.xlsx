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93b39bbd0147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a0c9627a2964368"/>
    <x:sheet xmlns:r="http://schemas.openxmlformats.org/officeDocument/2006/relationships" name="Daily Census" sheetId="2" r:id="Rdb075d850dcd489c"/>
    <x:sheet xmlns:r="http://schemas.openxmlformats.org/officeDocument/2006/relationships" name="Admission Discharge Log" sheetId="3" r:id="R354ede670e7a4035"/>
    <x:sheet xmlns:r="http://schemas.openxmlformats.org/officeDocument/2006/relationships" name="Mortality Statistics" sheetId="4" r:id="Ra09c5baee21d4c13"/>
    <x:sheet xmlns:r="http://schemas.openxmlformats.org/officeDocument/2006/relationships" name="Surgery Statistics" sheetId="5" r:id="R4ccbd5e6251e4d85"/>
    <x:sheet xmlns:r="http://schemas.openxmlformats.org/officeDocument/2006/relationships" name="OPD Statistics" sheetId="6" r:id="R71aa56a9521e4d58"/>
    <x:sheet xmlns:r="http://schemas.openxmlformats.org/officeDocument/2006/relationships" name="Emergency Statistics" sheetId="7" r:id="Rf5c94909d53f48b3"/>
    <x:sheet xmlns:r="http://schemas.openxmlformats.org/officeDocument/2006/relationships" name="Diagnostic Services" sheetId="8" r:id="Rf441a9577519461e"/>
    <x:sheet xmlns:r="http://schemas.openxmlformats.org/officeDocument/2006/relationships" name="Maternity Birth Stats" sheetId="9" r:id="R3593b3a75a14405d"/>
    <x:sheet xmlns:r="http://schemas.openxmlformats.org/officeDocument/2006/relationships" name="HIM Coding Archive Stats" sheetId="10" r:id="Rd3405af7b51b45e5"/>
    <x:sheet xmlns:r="http://schemas.openxmlformats.org/officeDocument/2006/relationships" name="Monthly Summary" sheetId="11" r:id="Rda0a389d0f33453a"/>
    <x:sheet xmlns:r="http://schemas.openxmlformats.org/officeDocument/2006/relationships" name="Annual Summary" sheetId="12" r:id="Rb85685e140d84741"/>
    <x:sheet xmlns:r="http://schemas.openxmlformats.org/officeDocument/2006/relationships" name="Data Dictionary" sheetId="13" r:id="Rb74d0b8b61b9421e"/>
    <x:sheet xmlns:r="http://schemas.openxmlformats.org/officeDocument/2006/relationships" name="Retention Disposition Matrix" sheetId="14" r:id="Ra37f2ceb545345f7"/>
    <x:sheet xmlns:r="http://schemas.openxmlformats.org/officeDocument/2006/relationships" name="Dashboard" sheetId="15" r:id="R9a7d46e8d99246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155E75"/>
      </x:patternFill>
    </x:fill>
  </x:fills>
  <x:borders count="42">
    <x:border/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top/>
      <x:bottom/>
    </x:border>
    <x:border>
      <x:right/>
      <x:top/>
    </x:border>
    <x:border>
      <x:left/>
      <x:right/>
      <x:top/>
    </x:border>
    <x:border>
      <x:left/>
      <x:top/>
    </x:border>
  </x:borders>
  <x:cellStyleXfs count="1">
    <x:xf numFmtId="0" fontId="0" fillId="0" borderId="0"/>
  </x:cellStyleXfs>
  <x:cellXfs count="1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6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200" fontId="0" fillId="0" borderId="15" xfId="0" applyNumberFormat="1" applyFont="1" applyFill="1" applyBorder="1" applyAlignment="1">
      <x:alignment vertical="top" wrapText="1"/>
    </x:xf>
    <x:xf numFmtId="200" fontId="0" fillId="0" borderId="18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200" fontId="0" fillId="0" borderId="21" xfId="0" applyNumberFormat="1" applyFont="1" applyFill="1" applyBorder="1" applyAlignment="1">
      <x:alignment vertical="top" wrapText="1"/>
    </x:xf>
    <x:xf numFmtId="200" fontId="0" fillId="0" borderId="2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0" fillId="0" borderId="26" xfId="0" applyNumberFormat="1" applyFont="1" applyFill="1" applyBorder="1"/>
    <x:xf numFmtId="0" fontId="0" fillId="0" borderId="27" xfId="0" applyNumberFormat="1" applyFont="1" applyFill="1" applyBorder="1"/>
    <x:xf numFmtId="0" fontId="0" fillId="0" borderId="28" xfId="0" applyNumberFormat="1" applyFont="1" applyFill="1" applyBorder="1"/>
    <x:xf numFmtId="0" fontId="0" fillId="0" borderId="29" xfId="0" applyNumberFormat="1" applyFont="1" applyFill="1" applyBorder="1"/>
    <x:xf numFmtId="0" fontId="0" fillId="0" borderId="30" xfId="0" applyNumberFormat="1" applyFont="1" applyFill="1" applyBorder="1"/>
    <x:xf numFmtId="0" fontId="0" fillId="0" borderId="31" xfId="0" applyNumberFormat="1" applyFont="1" applyFill="1" applyBorder="1"/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0" fillId="0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2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3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b83a0596d8474a" /><Relationship Type="http://schemas.openxmlformats.org/officeDocument/2006/relationships/theme" Target="/xl/theme/theme1.xml" Id="R3797a95827fb4293" /><Relationship Type="http://schemas.openxmlformats.org/officeDocument/2006/relationships/sharedStrings" Target="/xl/sharedStrings.xml" Id="R220d63c308b04e73" /><Relationship Type="http://schemas.openxmlformats.org/officeDocument/2006/relationships/worksheet" Target="/xl/worksheets/sheet1.xml" Id="Rca0c9627a2964368" /><Relationship Type="http://schemas.openxmlformats.org/officeDocument/2006/relationships/worksheet" Target="/xl/worksheets/sheet2.xml" Id="Rdb075d850dcd489c" /><Relationship Type="http://schemas.openxmlformats.org/officeDocument/2006/relationships/worksheet" Target="/xl/worksheets/sheet3.xml" Id="R354ede670e7a4035" /><Relationship Type="http://schemas.openxmlformats.org/officeDocument/2006/relationships/worksheet" Target="/xl/worksheets/sheet4.xml" Id="Ra09c5baee21d4c13" /><Relationship Type="http://schemas.openxmlformats.org/officeDocument/2006/relationships/worksheet" Target="/xl/worksheets/sheet5.xml" Id="R4ccbd5e6251e4d85" /><Relationship Type="http://schemas.openxmlformats.org/officeDocument/2006/relationships/worksheet" Target="/xl/worksheets/sheet6.xml" Id="R71aa56a9521e4d58" /><Relationship Type="http://schemas.openxmlformats.org/officeDocument/2006/relationships/worksheet" Target="/xl/worksheets/sheet7.xml" Id="Rf5c94909d53f48b3" /><Relationship Type="http://schemas.openxmlformats.org/officeDocument/2006/relationships/worksheet" Target="/xl/worksheets/sheet8.xml" Id="Rf441a9577519461e" /><Relationship Type="http://schemas.openxmlformats.org/officeDocument/2006/relationships/worksheet" Target="/xl/worksheets/sheet9.xml" Id="R3593b3a75a14405d" /><Relationship Type="http://schemas.openxmlformats.org/officeDocument/2006/relationships/worksheet" Target="/xl/worksheets/sheet10.xml" Id="Rd3405af7b51b45e5" /><Relationship Type="http://schemas.openxmlformats.org/officeDocument/2006/relationships/worksheet" Target="/xl/worksheets/sheet11.xml" Id="Rda0a389d0f33453a" /><Relationship Type="http://schemas.openxmlformats.org/officeDocument/2006/relationships/worksheet" Target="/xl/worksheets/sheet12.xml" Id="Rb85685e140d84741" /><Relationship Type="http://schemas.openxmlformats.org/officeDocument/2006/relationships/worksheet" Target="/xl/worksheets/sheet13.xml" Id="Rb74d0b8b61b9421e" /><Relationship Type="http://schemas.openxmlformats.org/officeDocument/2006/relationships/worksheet" Target="/xl/worksheets/sheet14.xml" Id="Ra37f2ceb545345f7" /><Relationship Type="http://schemas.openxmlformats.org/officeDocument/2006/relationships/worksheet" Target="/xl/worksheets/sheet15.xml" Id="R9a7d46e8d992466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92df4d6822b44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Key Sample Indicators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'Dashboard'!$A$3:$A$8</c:f>
              <c:strCache>
                <c:ptCount val="0"/>
              </c:strCache>
            </c:strRef>
          </c:cat>
          <c:val>
            <c:numRef>
              <c:f>'Dashboard'!$B$3:$B$8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12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2df4d6822b44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5.xml.rels>&#65279;<?xml version="1.0" encoding="utf-8"?><Relationships xmlns="http://schemas.openxmlformats.org/package/2006/relationships"><Relationship Type="http://schemas.openxmlformats.org/officeDocument/2006/relationships/drawing" Target="/xl/drawings/drawing1.xml" Id="R5cd806274bd3493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>
      <x:c r="A1" s="4" t="str">
        <x:v>DigiHealth Lab - Hospital Statistics Forms Workbook</x:v>
      </x:c>
      <x:c r="B1" s="4"/>
    </x:row>
    <x:row r="2">
      <x:c r="A2" s="10" t="str">
        <x:v>Purpose</x:v>
      </x:c>
      <x:c r="B2" s="15" t="str">
        <x:v>Educational Excel workbook containing daily, monthly and annual hospital statistics forms with sample completion and automatic analysis.</x:v>
      </x:c>
    </x:row>
    <x:row r="3">
      <x:c r="A3" s="10" t="str">
        <x:v>How to use</x:v>
      </x:c>
      <x:c r="B3" s="15" t="str">
        <x:v>Start with Daily Census and service forms. Monthly and annual summary sheets aggregate sample data and demonstrate common indicators.</x:v>
      </x:c>
    </x:row>
    <x:row r="4">
      <x:c r="A4" s="10" t="str">
        <x:v>Who completes data</x:v>
      </x:c>
      <x:c r="B4" s="15" t="str">
        <x:v>Ward clerk, nurse-in-charge, registration/admission, discharge office, billing/insurance, HIM/statistics officer, medical records, medical coder, laboratory/radiology/pharmacy supervisors.</x:v>
      </x:c>
    </x:row>
    <x:row r="5">
      <x:c r="A5" s="10" t="str">
        <x:v>Where data is sent</x:v>
      </x:c>
      <x:c r="B5" s="15" t="str">
        <x:v>Normally to the Hospital Statistics/HIM Unit, Quality Department, Hospital Administration, Finance/Billing and national/state health reporting units according to local policy.</x:v>
      </x:c>
    </x:row>
    <x:row r="6">
      <x:c r="A6" s="10" t="str">
        <x:v>Important</x:v>
      </x:c>
      <x:c r="B6" s="15" t="str">
        <x:v>Do not treat retention periods or report destinations as legal advice. They vary by country, facility, payer and regulation. Align with local Ministry of Health, hospital policy and applicable privacy laws.</x:v>
      </x:c>
    </x:row>
    <x:row r="7">
      <x:c r="A7" s="10" t="str">
        <x:v>Official references</x:v>
      </x:c>
      <x:c r="B7" s="15" t="str">
        <x:v>42 CFR 482.24 Medical Record Services; CDC/NCHS death certificate and death certification manuals; WHO health indicators; NHS Records Management Code of Practice.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14" hidden="0" customWidth="1"/>
    <x:col min="4" max="4" width="14" hidden="0" customWidth="1"/>
    <x:col min="5" max="5" width="1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2" hidden="0" customWidth="1"/>
    <x:col min="12" max="12" width="15" hidden="0" customWidth="1"/>
    <x:col min="13" max="13" width="28" hidden="0" customWidth="1"/>
    <x:col min="14" max="14" width="26" hidden="0" customWidth="1"/>
  </x:cols>
  <x:sheetData>
    <x:row r="1" ht="28" customHeight="1">
      <x:c r="A1" s="20" t="str">
        <x:v>Daily Ward Census and Bed Occupancy Form</x:v>
      </x:c>
    </x:row>
    <x:row r="3" ht="26" customHeight="1">
      <x:c r="A3" s="27" t="str">
        <x:v>Date</x:v>
      </x:c>
      <x:c r="B3" s="27" t="str">
        <x:v>Ward/Unit</x:v>
      </x:c>
      <x:c r="C3" s="27" t="str">
        <x:v>Authorized Beds</x:v>
      </x:c>
      <x:c r="D3" s="27" t="str">
        <x:v>Available Beds</x:v>
      </x:c>
      <x:c r="E3" s="27" t="str">
        <x:v>Occupied at 00:01</x:v>
      </x:c>
      <x:c r="F3" s="27" t="str">
        <x:v>Admissions</x:v>
      </x:c>
      <x:c r="G3" s="27" t="str">
        <x:v>Transfers In</x:v>
      </x:c>
      <x:c r="H3" s="27" t="str">
        <x:v>Transfers Out</x:v>
      </x:c>
      <x:c r="I3" s="27" t="str">
        <x:v>Discharges</x:v>
      </x:c>
      <x:c r="J3" s="27" t="str">
        <x:v>Deaths</x:v>
      </x:c>
      <x:c r="K3" s="27" t="str">
        <x:v>Patient Days</x:v>
      </x:c>
      <x:c r="L3" s="27" t="str">
        <x:v>Bed Occupancy %</x:v>
      </x:c>
      <x:c r="M3" s="27" t="str">
        <x:v>Completed By</x:v>
      </x:c>
      <x:c r="N3" s="27" t="str">
        <x:v>Sent To</x:v>
      </x:c>
    </x:row>
    <x:row r="4">
      <x:c r="A4" s="50" t="str">
        <x:v>2026-07-01</x:v>
      </x:c>
      <x:c r="B4" s="51" t="str">
        <x:v>Medical Ward</x:v>
      </x:c>
      <x:c r="C4" s="51" t="n">
        <x:v>40</x:v>
      </x:c>
      <x:c r="D4" s="51" t="n">
        <x:v>40</x:v>
      </x:c>
      <x:c r="E4" s="51" t="n">
        <x:v>32</x:v>
      </x:c>
      <x:c r="F4" s="51" t="n">
        <x:v>8</x:v>
      </x:c>
      <x:c r="G4" s="51" t="n">
        <x:v>1</x:v>
      </x:c>
      <x:c r="H4" s="51" t="n">
        <x:v>2</x:v>
      </x:c>
      <x:c r="I4" s="51" t="n">
        <x:v>7</x:v>
      </x:c>
      <x:c r="J4" s="51" t="n">
        <x:v>1</x:v>
      </x:c>
      <x:c r="K4" s="51" t="n">
        <x:v>32</x:v>
      </x:c>
      <x:c r="L4" s="86" t="n">
        <x:f>K4/D4</x:f>
        <x:v>0.8</x:v>
      </x:c>
      <x:c r="M4" s="51" t="str">
        <x:v>Ward clerk / Nurse-in-charge</x:v>
      </x:c>
      <x:c r="N4" s="52" t="str">
        <x:v>HIM Statistics Unit</x:v>
      </x:c>
    </x:row>
    <x:row r="5">
      <x:c r="A5" s="53" t="str">
        <x:v>2026-07-01</x:v>
      </x:c>
      <x:c r="B5" s="54" t="str">
        <x:v>Surgical Ward</x:v>
      </x:c>
      <x:c r="C5" s="54" t="n">
        <x:v>35</x:v>
      </x:c>
      <x:c r="D5" s="54" t="n">
        <x:v>35</x:v>
      </x:c>
      <x:c r="E5" s="54" t="n">
        <x:v>26</x:v>
      </x:c>
      <x:c r="F5" s="54" t="n">
        <x:v>5</x:v>
      </x:c>
      <x:c r="G5" s="54" t="n">
        <x:v>2</x:v>
      </x:c>
      <x:c r="H5" s="54" t="n">
        <x:v>1</x:v>
      </x:c>
      <x:c r="I5" s="54" t="n">
        <x:v>4</x:v>
      </x:c>
      <x:c r="J5" s="54" t="n">
        <x:v>0</x:v>
      </x:c>
      <x:c r="K5" s="54" t="n">
        <x:v>26</x:v>
      </x:c>
      <x:c r="L5" s="87" t="n">
        <x:f>K5/D5</x:f>
        <x:v>0.7428571428571429</x:v>
      </x:c>
      <x:c r="M5" s="54" t="str">
        <x:v>Ward clerk / Nurse-in-charge</x:v>
      </x:c>
      <x:c r="N5" s="55" t="str">
        <x:v>HIM Statistics Unit</x:v>
      </x:c>
    </x:row>
    <x:row r="6">
      <x:c r="A6" s="53" t="str">
        <x:v>2026-07-01</x:v>
      </x:c>
      <x:c r="B6" s="54" t="str">
        <x:v>Pediatrics</x:v>
      </x:c>
      <x:c r="C6" s="54" t="n">
        <x:v>25</x:v>
      </x:c>
      <x:c r="D6" s="54" t="n">
        <x:v>24</x:v>
      </x:c>
      <x:c r="E6" s="54" t="n">
        <x:v>16</x:v>
      </x:c>
      <x:c r="F6" s="54" t="n">
        <x:v>4</x:v>
      </x:c>
      <x:c r="G6" s="54" t="n">
        <x:v>0</x:v>
      </x:c>
      <x:c r="H6" s="54" t="n">
        <x:v>1</x:v>
      </x:c>
      <x:c r="I6" s="54" t="n">
        <x:v>3</x:v>
      </x:c>
      <x:c r="J6" s="54" t="n">
        <x:v>0</x:v>
      </x:c>
      <x:c r="K6" s="54" t="n">
        <x:v>16</x:v>
      </x:c>
      <x:c r="L6" s="87" t="n">
        <x:f>K6/D6</x:f>
        <x:v>0.6666666666666666</x:v>
      </x:c>
      <x:c r="M6" s="54" t="str">
        <x:v>Ward clerk / Nurse-in-charge</x:v>
      </x:c>
      <x:c r="N6" s="55" t="str">
        <x:v>HIM Statistics Unit</x:v>
      </x:c>
    </x:row>
    <x:row r="7">
      <x:c r="A7" s="53" t="str">
        <x:v>2026-07-01</x:v>
      </x:c>
      <x:c r="B7" s="54" t="str">
        <x:v>Maternity</x:v>
      </x:c>
      <x:c r="C7" s="54" t="n">
        <x:v>30</x:v>
      </x:c>
      <x:c r="D7" s="54" t="n">
        <x:v>30</x:v>
      </x:c>
      <x:c r="E7" s="54" t="n">
        <x:v>21</x:v>
      </x:c>
      <x:c r="F7" s="54" t="n">
        <x:v>6</x:v>
      </x:c>
      <x:c r="G7" s="54" t="n">
        <x:v>1</x:v>
      </x:c>
      <x:c r="H7" s="54" t="n">
        <x:v>1</x:v>
      </x:c>
      <x:c r="I7" s="54" t="n">
        <x:v>5</x:v>
      </x:c>
      <x:c r="J7" s="54" t="n">
        <x:v>0</x:v>
      </x:c>
      <x:c r="K7" s="54" t="n">
        <x:v>21</x:v>
      </x:c>
      <x:c r="L7" s="87" t="n">
        <x:f>K7/D7</x:f>
        <x:v>0.7</x:v>
      </x:c>
      <x:c r="M7" s="54" t="str">
        <x:v>Ward clerk / Nurse-in-charge</x:v>
      </x:c>
      <x:c r="N7" s="55" t="str">
        <x:v>HIM Statistics Unit</x:v>
      </x:c>
    </x:row>
    <x:row r="8">
      <x:c r="A8" s="53" t="str">
        <x:v>2026-07-01</x:v>
      </x:c>
      <x:c r="B8" s="54" t="str">
        <x:v>ICU</x:v>
      </x:c>
      <x:c r="C8" s="54" t="n">
        <x:v>12</x:v>
      </x:c>
      <x:c r="D8" s="54" t="n">
        <x:v>11</x:v>
      </x:c>
      <x:c r="E8" s="54" t="n">
        <x:v>10</x:v>
      </x:c>
      <x:c r="F8" s="54" t="n">
        <x:v>2</x:v>
      </x:c>
      <x:c r="G8" s="54" t="n">
        <x:v>1</x:v>
      </x:c>
      <x:c r="H8" s="54" t="n">
        <x:v>0</x:v>
      </x:c>
      <x:c r="I8" s="54" t="n">
        <x:v>1</x:v>
      </x:c>
      <x:c r="J8" s="54" t="n">
        <x:v>1</x:v>
      </x:c>
      <x:c r="K8" s="54" t="n">
        <x:v>10</x:v>
      </x:c>
      <x:c r="L8" s="87" t="n">
        <x:f>K8/D8</x:f>
        <x:v>0.9090909090909091</x:v>
      </x:c>
      <x:c r="M8" s="54" t="str">
        <x:v>Ward clerk / Nurse-in-charge</x:v>
      </x:c>
      <x:c r="N8" s="55" t="str">
        <x:v>HIM Statistics Unit</x:v>
      </x:c>
    </x:row>
    <x:row r="9">
      <x:c r="A9" s="53" t="str">
        <x:v>2026-07-01</x:v>
      </x:c>
      <x:c r="B9" s="54" t="str">
        <x:v>CCU</x:v>
      </x:c>
      <x:c r="C9" s="54" t="n">
        <x:v>10</x:v>
      </x:c>
      <x:c r="D9" s="54" t="n">
        <x:v>10</x:v>
      </x:c>
      <x:c r="E9" s="54" t="n">
        <x:v>8</x:v>
      </x:c>
      <x:c r="F9" s="54" t="n">
        <x:v>1</x:v>
      </x:c>
      <x:c r="G9" s="54" t="n">
        <x:v>0</x:v>
      </x:c>
      <x:c r="H9" s="54" t="n">
        <x:v>1</x:v>
      </x:c>
      <x:c r="I9" s="54" t="n">
        <x:v>1</x:v>
      </x:c>
      <x:c r="J9" s="54" t="n">
        <x:v>0</x:v>
      </x:c>
      <x:c r="K9" s="54" t="n">
        <x:v>8</x:v>
      </x:c>
      <x:c r="L9" s="87" t="n">
        <x:f>K9/D9</x:f>
        <x:v>0.8</x:v>
      </x:c>
      <x:c r="M9" s="54" t="str">
        <x:v>Ward clerk / Nurse-in-charge</x:v>
      </x:c>
      <x:c r="N9" s="55" t="str">
        <x:v>HIM Statistics Unit</x:v>
      </x:c>
    </x:row>
    <x:row r="10">
      <x:c r="A10" s="53" t="str">
        <x:v>2026-07-01</x:v>
      </x:c>
      <x:c r="B10" s="54" t="str">
        <x:v>Emergency Observation</x:v>
      </x:c>
      <x:c r="C10" s="54" t="n">
        <x:v>18</x:v>
      </x:c>
      <x:c r="D10" s="54" t="n">
        <x:v>18</x:v>
      </x:c>
      <x:c r="E10" s="54" t="n">
        <x:v>10</x:v>
      </x:c>
      <x:c r="F10" s="54" t="n">
        <x:v>12</x:v>
      </x:c>
      <x:c r="G10" s="54" t="n">
        <x:v>2</x:v>
      </x:c>
      <x:c r="H10" s="54" t="n">
        <x:v>3</x:v>
      </x:c>
      <x:c r="I10" s="54" t="n">
        <x:v>10</x:v>
      </x:c>
      <x:c r="J10" s="54" t="n">
        <x:v>0</x:v>
      </x:c>
      <x:c r="K10" s="54" t="n">
        <x:v>10</x:v>
      </x:c>
      <x:c r="L10" s="87" t="n">
        <x:f>K10/D10</x:f>
        <x:v>0.5555555555555556</x:v>
      </x:c>
      <x:c r="M10" s="54" t="str">
        <x:v>Ward clerk / Nurse-in-charge</x:v>
      </x:c>
      <x:c r="N10" s="55" t="str">
        <x:v>HIM Statistics Unit</x:v>
      </x:c>
    </x:row>
    <x:row r="11">
      <x:c r="A11" s="56" t="str">
        <x:v>2026-07-01</x:v>
      </x:c>
      <x:c r="B11" s="57" t="str">
        <x:v>Orthopedics</x:v>
      </x:c>
      <x:c r="C11" s="57" t="n">
        <x:v>28</x:v>
      </x:c>
      <x:c r="D11" s="57" t="n">
        <x:v>28</x:v>
      </x:c>
      <x:c r="E11" s="57" t="n">
        <x:v>20</x:v>
      </x:c>
      <x:c r="F11" s="57" t="n">
        <x:v>3</x:v>
      </x:c>
      <x:c r="G11" s="57" t="n">
        <x:v>1</x:v>
      </x:c>
      <x:c r="H11" s="57" t="n">
        <x:v>1</x:v>
      </x:c>
      <x:c r="I11" s="57" t="n">
        <x:v>3</x:v>
      </x:c>
      <x:c r="J11" s="57" t="n">
        <x:v>0</x:v>
      </x:c>
      <x:c r="K11" s="57" t="n">
        <x:v>20</x:v>
      </x:c>
      <x:c r="L11" s="88" t="n">
        <x:f>K11/D11</x:f>
        <x:v>0.7142857142857143</x:v>
      </x:c>
      <x:c r="M11" s="57" t="str">
        <x:v>Ward clerk / Nurse-in-charge</x:v>
      </x:c>
      <x:c r="N11" s="58" t="str">
        <x:v>HIM Statistics Unit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24" hidden="0" customWidth="1"/>
    <x:col min="4" max="4" width="17" hidden="0" customWidth="1"/>
    <x:col min="5" max="5" width="16" hidden="0" customWidth="1"/>
    <x:col min="6" max="6" width="14" hidden="0" customWidth="1"/>
    <x:col min="7" max="7" width="12" hidden="0" customWidth="1"/>
    <x:col min="8" max="8" width="12" hidden="0" customWidth="1"/>
    <x:col min="9" max="9" width="30" hidden="0" customWidth="1"/>
    <x:col min="10" max="10" width="25" hidden="0" customWidth="1"/>
    <x:col min="11" max="11" width="30" hidden="0" customWidth="1"/>
  </x:cols>
  <x:sheetData>
    <x:row r="1" ht="28" customHeight="1">
      <x:c r="A1" s="20" t="str">
        <x:v>Daily Admission, Discharge, Transfer and Death Log</x:v>
      </x:c>
    </x:row>
    <x:row r="3" ht="26" customHeight="1">
      <x:c r="A3" s="27" t="str">
        <x:v>Date</x:v>
      </x:c>
      <x:c r="B3" s="27" t="str">
        <x:v>Patient Type</x:v>
      </x:c>
      <x:c r="C3" s="27" t="str">
        <x:v>Source/Route</x:v>
      </x:c>
      <x:c r="D3" s="27" t="str">
        <x:v>Admission Count</x:v>
      </x:c>
      <x:c r="E3" s="27" t="str">
        <x:v>Discharge Count</x:v>
      </x:c>
      <x:c r="F3" s="27" t="str">
        <x:v>Transfer Out</x:v>
      </x:c>
      <x:c r="G3" s="27" t="str">
        <x:v>Death Count</x:v>
      </x:c>
      <x:c r="H3" s="27" t="str">
        <x:v>LAMA/DAMA</x:v>
      </x:c>
      <x:c r="I3" s="27" t="str">
        <x:v>Completed By</x:v>
      </x:c>
      <x:c r="J3" s="27" t="str">
        <x:v>Sent To</x:v>
      </x:c>
      <x:c r="K3" s="27" t="str">
        <x:v>Notes</x:v>
      </x:c>
    </x:row>
    <x:row r="4">
      <x:c r="A4" s="50" t="str">
        <x:v>2026-07-01</x:v>
      </x:c>
      <x:c r="B4" s="51" t="str">
        <x:v>Inpatient</x:v>
      </x:c>
      <x:c r="C4" s="51" t="str">
        <x:v>Emergency</x:v>
      </x:c>
      <x:c r="D4" s="51" t="n">
        <x:v>18</x:v>
      </x:c>
      <x:c r="E4" s="51" t="n">
        <x:v>12</x:v>
      </x:c>
      <x:c r="F4" s="51" t="n">
        <x:v>2</x:v>
      </x:c>
      <x:c r="G4" s="51" t="n">
        <x:v>1</x:v>
      </x:c>
      <x:c r="H4" s="51" t="n">
        <x:v>1</x:v>
      </x:c>
      <x:c r="I4" s="51" t="str">
        <x:v>Registration / Discharge Office</x:v>
      </x:c>
      <x:c r="J4" s="51" t="str">
        <x:v>HIM Statistics Unit</x:v>
      </x:c>
      <x:c r="K4" s="52" t="str">
        <x:v>Sample fictional data</x:v>
      </x:c>
    </x:row>
    <x:row r="5">
      <x:c r="A5" s="53" t="str">
        <x:v>2026-07-01</x:v>
      </x:c>
      <x:c r="B5" s="54" t="str">
        <x:v>Inpatient</x:v>
      </x:c>
      <x:c r="C5" s="54" t="str">
        <x:v>OPD Referral</x:v>
      </x:c>
      <x:c r="D5" s="54" t="n">
        <x:v>7</x:v>
      </x:c>
      <x:c r="E5" s="54" t="n">
        <x:v>4</x:v>
      </x:c>
      <x:c r="F5" s="54" t="n">
        <x:v>0</x:v>
      </x:c>
      <x:c r="G5" s="54" t="n">
        <x:v>0</x:v>
      </x:c>
      <x:c r="H5" s="54" t="n">
        <x:v>0</x:v>
      </x:c>
      <x:c r="I5" s="54" t="str">
        <x:v>Registration / Discharge Office</x:v>
      </x:c>
      <x:c r="J5" s="54" t="str">
        <x:v>HIM Statistics Unit</x:v>
      </x:c>
      <x:c r="K5" s="55" t="str">
        <x:v>Sample fictional data</x:v>
      </x:c>
    </x:row>
    <x:row r="6">
      <x:c r="A6" s="53" t="str">
        <x:v>2026-07-01</x:v>
      </x:c>
      <x:c r="B6" s="54" t="str">
        <x:v>Daycare</x:v>
      </x:c>
      <x:c r="C6" s="54" t="str">
        <x:v>Scheduled</x:v>
      </x:c>
      <x:c r="D6" s="54" t="n">
        <x:v>22</x:v>
      </x:c>
      <x:c r="E6" s="54" t="n">
        <x:v>22</x:v>
      </x:c>
      <x:c r="F6" s="54" t="n">
        <x:v>0</x:v>
      </x:c>
      <x:c r="G6" s="54" t="n">
        <x:v>0</x:v>
      </x:c>
      <x:c r="H6" s="54" t="n">
        <x:v>0</x:v>
      </x:c>
      <x:c r="I6" s="54" t="str">
        <x:v>Registration / Discharge Office</x:v>
      </x:c>
      <x:c r="J6" s="54" t="str">
        <x:v>HIM Statistics Unit</x:v>
      </x:c>
      <x:c r="K6" s="55" t="str">
        <x:v>Sample fictional data</x:v>
      </x:c>
    </x:row>
    <x:row r="7">
      <x:c r="A7" s="53" t="str">
        <x:v>2026-07-01</x:v>
      </x:c>
      <x:c r="B7" s="54" t="str">
        <x:v>Observation</x:v>
      </x:c>
      <x:c r="C7" s="54" t="str">
        <x:v>Emergency Observation</x:v>
      </x:c>
      <x:c r="D7" s="54" t="n">
        <x:v>14</x:v>
      </x:c>
      <x:c r="E7" s="54" t="n">
        <x:v>10</x:v>
      </x:c>
      <x:c r="F7" s="54" t="n">
        <x:v>1</x:v>
      </x:c>
      <x:c r="G7" s="54" t="n">
        <x:v>0</x:v>
      </x:c>
      <x:c r="H7" s="54" t="n">
        <x:v>1</x:v>
      </x:c>
      <x:c r="I7" s="54" t="str">
        <x:v>Registration / Discharge Office</x:v>
      </x:c>
      <x:c r="J7" s="54" t="str">
        <x:v>HIM Statistics Unit</x:v>
      </x:c>
      <x:c r="K7" s="55" t="str">
        <x:v>Sample fictional data</x:v>
      </x:c>
    </x:row>
    <x:row r="8">
      <x:c r="A8" s="56" t="str">
        <x:v>2026-07-01</x:v>
      </x:c>
      <x:c r="B8" s="57" t="str">
        <x:v>Newborn</x:v>
      </x:c>
      <x:c r="C8" s="57" t="str">
        <x:v>Maternity</x:v>
      </x:c>
      <x:c r="D8" s="57" t="n">
        <x:v>5</x:v>
      </x:c>
      <x:c r="E8" s="57" t="n">
        <x:v>4</x:v>
      </x:c>
      <x:c r="F8" s="57" t="n">
        <x:v>0</x:v>
      </x:c>
      <x:c r="G8" s="57" t="n">
        <x:v>0</x:v>
      </x:c>
      <x:c r="H8" s="57" t="n">
        <x:v>0</x:v>
      </x:c>
      <x:c r="I8" s="57" t="str">
        <x:v>Registration / Discharge Office</x:v>
      </x:c>
      <x:c r="J8" s="57" t="str">
        <x:v>HIM Statistics Unit</x:v>
      </x:c>
      <x:c r="K8" s="58" t="str">
        <x:v>Sample fictional data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7" hidden="0" customWidth="1"/>
    <x:col min="3" max="3" width="10" hidden="0" customWidth="1"/>
    <x:col min="4" max="4" width="18" hidden="0" customWidth="1"/>
    <x:col min="5" max="5" width="24" hidden="0" customWidth="1"/>
    <x:col min="6" max="6" width="24" hidden="0" customWidth="1"/>
    <x:col min="7" max="7" width="28" hidden="0" customWidth="1"/>
    <x:col min="8" max="8" width="18" hidden="0" customWidth="1"/>
    <x:col min="9" max="9" width="12" hidden="0" customWidth="1"/>
    <x:col min="10" max="10" width="23" hidden="0" customWidth="1"/>
    <x:col min="11" max="11" width="30" hidden="0" customWidth="1"/>
    <x:col min="12" max="12" width="30" hidden="0" customWidth="1"/>
  </x:cols>
  <x:sheetData>
    <x:row r="1" ht="28" customHeight="1">
      <x:c r="A1" s="20" t="str">
        <x:v>Mortality Statistics and Cause-of-Death Coding Log</x:v>
      </x:c>
    </x:row>
    <x:row r="3" ht="26" customHeight="1">
      <x:c r="A3" s="27" t="str">
        <x:v>Date</x:v>
      </x:c>
      <x:c r="B3" s="27" t="str">
        <x:v>Patient Age Group</x:v>
      </x:c>
      <x:c r="C3" s="27" t="str">
        <x:v>Sex</x:v>
      </x:c>
      <x:c r="D3" s="27" t="str">
        <x:v>Ward/Unit</x:v>
      </x:c>
      <x:c r="E3" s="27" t="str">
        <x:v>Immediate Cause</x:v>
      </x:c>
      <x:c r="F3" s="27" t="str">
        <x:v>Underlying Cause</x:v>
      </x:c>
      <x:c r="G3" s="27" t="str">
        <x:v>Contributing Conditions</x:v>
      </x:c>
      <x:c r="H3" s="27" t="str">
        <x:v>Manner of Death</x:v>
      </x:c>
      <x:c r="I3" s="27" t="str">
        <x:v>Autopsy?</x:v>
      </x:c>
      <x:c r="J3" s="27" t="str">
        <x:v>Coding Status</x:v>
      </x:c>
      <x:c r="K3" s="27" t="str">
        <x:v>Completed By</x:v>
      </x:c>
      <x:c r="L3" s="27" t="str">
        <x:v>Sent To</x:v>
      </x:c>
    </x:row>
    <x:row r="4">
      <x:c r="A4" s="50" t="str">
        <x:v>2026-07-01</x:v>
      </x:c>
      <x:c r="B4" s="51" t="str">
        <x:v>65+</x:v>
      </x:c>
      <x:c r="C4" s="51" t="str">
        <x:v>Male</x:v>
      </x:c>
      <x:c r="D4" s="51" t="str">
        <x:v>Medical Ward</x:v>
      </x:c>
      <x:c r="E4" s="51" t="str">
        <x:v>Respiratory failure</x:v>
      </x:c>
      <x:c r="F4" s="51" t="str">
        <x:v>Pneumonia</x:v>
      </x:c>
      <x:c r="G4" s="51" t="str">
        <x:v>COPD, diabetes</x:v>
      </x:c>
      <x:c r="H4" s="51" t="str">
        <x:v>Natural</x:v>
      </x:c>
      <x:c r="I4" s="51" t="str">
        <x:v>No</x:v>
      </x:c>
      <x:c r="J4" s="51" t="str">
        <x:v>Pending mortality coding</x:v>
      </x:c>
      <x:c r="K4" s="51" t="str">
        <x:v>Physician + Medical Coder</x:v>
      </x:c>
      <x:c r="L4" s="52" t="str">
        <x:v>HIM / Vital statistics unit</x:v>
      </x:c>
    </x:row>
    <x:row r="5">
      <x:c r="A5" s="56" t="str">
        <x:v>2026-07-01</x:v>
      </x:c>
      <x:c r="B5" s="57" t="str">
        <x:v>45-64</x:v>
      </x:c>
      <x:c r="C5" s="57" t="str">
        <x:v>Female</x:v>
      </x:c>
      <x:c r="D5" s="57" t="str">
        <x:v>ICU</x:v>
      </x:c>
      <x:c r="E5" s="57" t="str">
        <x:v>Septic shock</x:v>
      </x:c>
      <x:c r="F5" s="57" t="str">
        <x:v>Perforated appendicitis</x:v>
      </x:c>
      <x:c r="G5" s="57" t="str">
        <x:v>None documented</x:v>
      </x:c>
      <x:c r="H5" s="57" t="str">
        <x:v>Natural</x:v>
      </x:c>
      <x:c r="I5" s="57" t="str">
        <x:v>No</x:v>
      </x:c>
      <x:c r="J5" s="57" t="str">
        <x:v>Coded</x:v>
      </x:c>
      <x:c r="K5" s="57" t="str">
        <x:v>Physician + Medical Coder</x:v>
      </x:c>
      <x:c r="L5" s="58" t="str">
        <x:v>HIM / Vital statistics unit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0" hidden="0" customWidth="1"/>
    <x:col min="3" max="3" width="22" hidden="0" customWidth="1"/>
    <x:col min="4" max="4" width="18" hidden="0" customWidth="1"/>
    <x:col min="5" max="5" width="10" hidden="0" customWidth="1"/>
    <x:col min="6" max="6" width="10" hidden="0" customWidth="1"/>
    <x:col min="7" max="7" width="10" hidden="0" customWidth="1"/>
    <x:col min="8" max="8" width="18" hidden="0" customWidth="1"/>
    <x:col min="9" max="9" width="14" hidden="0" customWidth="1"/>
    <x:col min="10" max="10" width="18" hidden="0" customWidth="1"/>
    <x:col min="11" max="11" width="28" hidden="0" customWidth="1"/>
    <x:col min="12" max="12" width="30" hidden="0" customWidth="1"/>
  </x:cols>
  <x:sheetData>
    <x:row r="1" ht="28" customHeight="1">
      <x:c r="A1" s="20" t="str">
        <x:v>Daily Surgical and Procedure Statistics Form</x:v>
      </x:c>
    </x:row>
    <x:row r="3" ht="26" customHeight="1">
      <x:c r="A3" s="27" t="str">
        <x:v>Date</x:v>
      </x:c>
      <x:c r="B3" s="27" t="str">
        <x:v>Specialty</x:v>
      </x:c>
      <x:c r="C3" s="27" t="str">
        <x:v>Procedure Type</x:v>
      </x:c>
      <x:c r="D3" s="27" t="str">
        <x:v>Emergency/Elective</x:v>
      </x:c>
      <x:c r="E3" s="27" t="str">
        <x:v>Cases</x:v>
      </x:c>
      <x:c r="F3" s="27" t="str">
        <x:v>Major</x:v>
      </x:c>
      <x:c r="G3" s="27" t="str">
        <x:v>Minor</x:v>
      </x:c>
      <x:c r="H3" s="27" t="str">
        <x:v>Deaths within 24h</x:v>
      </x:c>
      <x:c r="I3" s="27" t="str">
        <x:v>Complications</x:v>
      </x:c>
      <x:c r="J3" s="27" t="str">
        <x:v>OR Utilization Hours</x:v>
      </x:c>
      <x:c r="K3" s="27" t="str">
        <x:v>Completed By</x:v>
      </x:c>
      <x:c r="L3" s="27" t="str">
        <x:v>Sent To</x:v>
      </x:c>
    </x:row>
    <x:row r="4">
      <x:c r="A4" s="50" t="str">
        <x:v>2026-07-01</x:v>
      </x:c>
      <x:c r="B4" s="51" t="str">
        <x:v>General Surgery</x:v>
      </x:c>
      <x:c r="C4" s="51" t="str">
        <x:v>Appendectomy</x:v>
      </x:c>
      <x:c r="D4" s="51" t="str">
        <x:v>Emergency</x:v>
      </x:c>
      <x:c r="E4" s="51" t="n">
        <x:v>3</x:v>
      </x:c>
      <x:c r="F4" s="51" t="n">
        <x:v>3</x:v>
      </x:c>
      <x:c r="G4" s="51" t="n">
        <x:v>0</x:v>
      </x:c>
      <x:c r="H4" s="51" t="n">
        <x:v>0</x:v>
      </x:c>
      <x:c r="I4" s="51" t="n">
        <x:v>0</x:v>
      </x:c>
      <x:c r="J4" s="51" t="n">
        <x:v>6.5</x:v>
      </x:c>
      <x:c r="K4" s="51" t="str">
        <x:v>OR Nurse + Surgeon</x:v>
      </x:c>
      <x:c r="L4" s="52" t="str">
        <x:v>HIM / OR Manager / Quality</x:v>
      </x:c>
    </x:row>
    <x:row r="5">
      <x:c r="A5" s="53" t="str">
        <x:v>2026-07-01</x:v>
      </x:c>
      <x:c r="B5" s="54" t="str">
        <x:v>Orthopedics</x:v>
      </x:c>
      <x:c r="C5" s="54" t="str">
        <x:v>ORIF</x:v>
      </x:c>
      <x:c r="D5" s="54" t="str">
        <x:v>Elective</x:v>
      </x:c>
      <x:c r="E5" s="54" t="n">
        <x:v>2</x:v>
      </x:c>
      <x:c r="F5" s="54" t="n">
        <x:v>2</x:v>
      </x:c>
      <x:c r="G5" s="54" t="n">
        <x:v>0</x:v>
      </x:c>
      <x:c r="H5" s="54" t="n">
        <x:v>0</x:v>
      </x:c>
      <x:c r="I5" s="54" t="n">
        <x:v>0</x:v>
      </x:c>
      <x:c r="J5" s="54" t="n">
        <x:v>5</x:v>
      </x:c>
      <x:c r="K5" s="54" t="str">
        <x:v>OR Nurse + Surgeon</x:v>
      </x:c>
      <x:c r="L5" s="55" t="str">
        <x:v>HIM / OR Manager / Quality</x:v>
      </x:c>
    </x:row>
    <x:row r="6">
      <x:c r="A6" s="56" t="str">
        <x:v>2026-07-01</x:v>
      </x:c>
      <x:c r="B6" s="57" t="str">
        <x:v>OB/GYN</x:v>
      </x:c>
      <x:c r="C6" s="57" t="str">
        <x:v>Cesarean section</x:v>
      </x:c>
      <x:c r="D6" s="57" t="str">
        <x:v>Emergency</x:v>
      </x:c>
      <x:c r="E6" s="57" t="n">
        <x:v>2</x:v>
      </x:c>
      <x:c r="F6" s="57" t="n">
        <x:v>2</x:v>
      </x:c>
      <x:c r="G6" s="57" t="n">
        <x:v>0</x:v>
      </x:c>
      <x:c r="H6" s="57" t="n">
        <x:v>0</x:v>
      </x:c>
      <x:c r="I6" s="57" t="n">
        <x:v>0</x:v>
      </x:c>
      <x:c r="J6" s="57" t="n">
        <x:v>4</x:v>
      </x:c>
      <x:c r="K6" s="57" t="str">
        <x:v>OR Nurse + Obstetrician</x:v>
      </x:c>
      <x:c r="L6" s="58" t="str">
        <x:v>HIM / OR Manager / Quality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3" hidden="0" customWidth="1"/>
    <x:col min="4" max="4" width="16" hidden="0" customWidth="1"/>
    <x:col min="5" max="5" width="13" hidden="0" customWidth="1"/>
    <x:col min="6" max="6" width="10" hidden="0" customWidth="1"/>
    <x:col min="7" max="7" width="14" hidden="0" customWidth="1"/>
    <x:col min="8" max="8" width="18" hidden="0" customWidth="1"/>
    <x:col min="9" max="9" width="24" hidden="0" customWidth="1"/>
    <x:col min="10" max="10" width="24" hidden="0" customWidth="1"/>
  </x:cols>
  <x:sheetData>
    <x:row r="1" ht="28" customHeight="1">
      <x:c r="A1" s="20" t="str">
        <x:v>Outpatient Department Statistics Form</x:v>
      </x:c>
    </x:row>
    <x:row r="3" ht="26" customHeight="1">
      <x:c r="A3" s="27" t="str">
        <x:v>Date</x:v>
      </x:c>
      <x:c r="B3" s="27" t="str">
        <x:v>Clinic/Specialty</x:v>
      </x:c>
      <x:c r="C3" s="27" t="str">
        <x:v>New Visits</x:v>
      </x:c>
      <x:c r="D3" s="27" t="str">
        <x:v>Follow-up Visits</x:v>
      </x:c>
      <x:c r="E3" s="27" t="str">
        <x:v>Total Visits</x:v>
      </x:c>
      <x:c r="F3" s="27" t="str">
        <x:v>No-show</x:v>
      </x:c>
      <x:c r="G3" s="27" t="str">
        <x:v>Referrals to ED</x:v>
      </x:c>
      <x:c r="H3" s="27" t="str">
        <x:v>Admissions from Clinic</x:v>
      </x:c>
      <x:c r="I3" s="27" t="str">
        <x:v>Completed By</x:v>
      </x:c>
      <x:c r="J3" s="27" t="str">
        <x:v>Sent To</x:v>
      </x:c>
    </x:row>
    <x:row r="4">
      <x:c r="A4" s="50" t="str">
        <x:v>2026-07-01</x:v>
      </x:c>
      <x:c r="B4" s="51" t="str">
        <x:v>Internal Medicine</x:v>
      </x:c>
      <x:c r="C4" s="51" t="n">
        <x:v>35</x:v>
      </x:c>
      <x:c r="D4" s="51" t="n">
        <x:v>62</x:v>
      </x:c>
      <x:c r="E4" s="51" t="n">
        <x:f>C4+D4</x:f>
        <x:v>97</x:v>
      </x:c>
      <x:c r="F4" s="51" t="n">
        <x:v>8</x:v>
      </x:c>
      <x:c r="G4" s="51" t="n">
        <x:v>2</x:v>
      </x:c>
      <x:c r="H4" s="51" t="n">
        <x:v>1</x:v>
      </x:c>
      <x:c r="I4" s="51" t="str">
        <x:v>Clinic clerk / Nurse</x:v>
      </x:c>
      <x:c r="J4" s="52" t="str">
        <x:v>HIM Statistics Unit</x:v>
      </x:c>
    </x:row>
    <x:row r="5">
      <x:c r="A5" s="53" t="str">
        <x:v>2026-07-01</x:v>
      </x:c>
      <x:c r="B5" s="54" t="str">
        <x:v>Pediatrics</x:v>
      </x:c>
      <x:c r="C5" s="54" t="n">
        <x:v>24</x:v>
      </x:c>
      <x:c r="D5" s="54" t="n">
        <x:v>40</x:v>
      </x:c>
      <x:c r="E5" s="54" t="n">
        <x:f>C5+D5</x:f>
        <x:v>64</x:v>
      </x:c>
      <x:c r="F5" s="54" t="n">
        <x:v>5</x:v>
      </x:c>
      <x:c r="G5" s="54" t="n">
        <x:v>1</x:v>
      </x:c>
      <x:c r="H5" s="54" t="n">
        <x:v>0</x:v>
      </x:c>
      <x:c r="I5" s="54" t="str">
        <x:v>Clinic clerk / Nurse</x:v>
      </x:c>
      <x:c r="J5" s="55" t="str">
        <x:v>HIM Statistics Unit</x:v>
      </x:c>
    </x:row>
    <x:row r="6">
      <x:c r="A6" s="56" t="str">
        <x:v>2026-07-01</x:v>
      </x:c>
      <x:c r="B6" s="57" t="str">
        <x:v>Surgery OPD</x:v>
      </x:c>
      <x:c r="C6" s="57" t="n">
        <x:v>18</x:v>
      </x:c>
      <x:c r="D6" s="57" t="n">
        <x:v>28</x:v>
      </x:c>
      <x:c r="E6" s="57" t="n">
        <x:f>C6+D6</x:f>
        <x:v>46</x:v>
      </x:c>
      <x:c r="F6" s="57" t="n">
        <x:v>3</x:v>
      </x:c>
      <x:c r="G6" s="57" t="n">
        <x:v>0</x:v>
      </x:c>
      <x:c r="H6" s="57" t="n">
        <x:v>2</x:v>
      </x:c>
      <x:c r="I6" s="57" t="str">
        <x:v>Clinic clerk / Nurse</x:v>
      </x:c>
      <x:c r="J6" s="58" t="str">
        <x:v>HIM Statistics Unit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0" hidden="0" customWidth="1"/>
    <x:col min="4" max="4" width="12" hidden="0" customWidth="1"/>
    <x:col min="5" max="5" width="18" hidden="0" customWidth="1"/>
    <x:col min="6" max="6" width="12" hidden="0" customWidth="1"/>
    <x:col min="7" max="7" width="12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28" customHeight="1">
      <x:c r="A1" s="20" t="str">
        <x:v>Emergency Department Statistics Form</x:v>
      </x:c>
    </x:row>
    <x:row r="3" ht="26" customHeight="1">
      <x:c r="A3" s="27" t="str">
        <x:v>Date</x:v>
      </x:c>
      <x:c r="B3" s="27" t="str">
        <x:v>Triage Category</x:v>
      </x:c>
      <x:c r="C3" s="27" t="str">
        <x:v>Cases</x:v>
      </x:c>
      <x:c r="D3" s="27" t="str">
        <x:v>Admissions</x:v>
      </x:c>
      <x:c r="E3" s="27" t="str">
        <x:v>Discharges from ED</x:v>
      </x:c>
      <x:c r="F3" s="27" t="str">
        <x:v>Transfers</x:v>
      </x:c>
      <x:c r="G3" s="27" t="str">
        <x:v>Deaths in ED</x:v>
      </x:c>
      <x:c r="H3" s="27" t="str">
        <x:v>Average Waiting Time Min</x:v>
      </x:c>
      <x:c r="I3" s="27" t="str">
        <x:v>Completed By</x:v>
      </x:c>
      <x:c r="J3" s="27" t="str">
        <x:v>Sent To</x:v>
      </x:c>
    </x:row>
    <x:row r="4">
      <x:c r="A4" s="50" t="str">
        <x:v>2026-07-01</x:v>
      </x:c>
      <x:c r="B4" s="51" t="str">
        <x:v>Resuscitation / Red</x:v>
      </x:c>
      <x:c r="C4" s="51" t="n">
        <x:v>4</x:v>
      </x:c>
      <x:c r="D4" s="51" t="n">
        <x:v>3</x:v>
      </x:c>
      <x:c r="E4" s="51" t="n">
        <x:v>0</x:v>
      </x:c>
      <x:c r="F4" s="51" t="n">
        <x:v>1</x:v>
      </x:c>
      <x:c r="G4" s="51" t="n">
        <x:v>0</x:v>
      </x:c>
      <x:c r="H4" s="51" t="n">
        <x:v>8</x:v>
      </x:c>
      <x:c r="I4" s="51" t="str">
        <x:v>ED Nurse-in-charge</x:v>
      </x:c>
      <x:c r="J4" s="52" t="str">
        <x:v>HIM / ED Manager</x:v>
      </x:c>
    </x:row>
    <x:row r="5">
      <x:c r="A5" s="53" t="str">
        <x:v>2026-07-01</x:v>
      </x:c>
      <x:c r="B5" s="54" t="str">
        <x:v>Emergency / Orange</x:v>
      </x:c>
      <x:c r="C5" s="54" t="n">
        <x:v>26</x:v>
      </x:c>
      <x:c r="D5" s="54" t="n">
        <x:v>8</x:v>
      </x:c>
      <x:c r="E5" s="54" t="n">
        <x:v>15</x:v>
      </x:c>
      <x:c r="F5" s="54" t="n">
        <x:v>2</x:v>
      </x:c>
      <x:c r="G5" s="54" t="n">
        <x:v>1</x:v>
      </x:c>
      <x:c r="H5" s="54" t="n">
        <x:v>25</x:v>
      </x:c>
      <x:c r="I5" s="54" t="str">
        <x:v>ED Nurse-in-charge</x:v>
      </x:c>
      <x:c r="J5" s="55" t="str">
        <x:v>HIM / ED Manager</x:v>
      </x:c>
    </x:row>
    <x:row r="6">
      <x:c r="A6" s="53" t="str">
        <x:v>2026-07-01</x:v>
      </x:c>
      <x:c r="B6" s="54" t="str">
        <x:v>Urgent / Yellow</x:v>
      </x:c>
      <x:c r="C6" s="54" t="n">
        <x:v>54</x:v>
      </x:c>
      <x:c r="D6" s="54" t="n">
        <x:v>7</x:v>
      </x:c>
      <x:c r="E6" s="54" t="n">
        <x:v>45</x:v>
      </x:c>
      <x:c r="F6" s="54" t="n">
        <x:v>1</x:v>
      </x:c>
      <x:c r="G6" s="54" t="n">
        <x:v>0</x:v>
      </x:c>
      <x:c r="H6" s="54" t="n">
        <x:v>45</x:v>
      </x:c>
      <x:c r="I6" s="54" t="str">
        <x:v>ED Nurse-in-charge</x:v>
      </x:c>
      <x:c r="J6" s="55" t="str">
        <x:v>HIM / ED Manager</x:v>
      </x:c>
    </x:row>
    <x:row r="7">
      <x:c r="A7" s="56" t="str">
        <x:v>2026-07-01</x:v>
      </x:c>
      <x:c r="B7" s="57" t="str">
        <x:v>Non-urgent / Green</x:v>
      </x:c>
      <x:c r="C7" s="57" t="n">
        <x:v>72</x:v>
      </x:c>
      <x:c r="D7" s="57" t="n">
        <x:v>0</x:v>
      </x:c>
      <x:c r="E7" s="57" t="n">
        <x:v>71</x:v>
      </x:c>
      <x:c r="F7" s="57" t="n">
        <x:v>1</x:v>
      </x:c>
      <x:c r="G7" s="57" t="n">
        <x:v>0</x:v>
      </x:c>
      <x:c r="H7" s="57" t="n">
        <x:v>80</x:v>
      </x:c>
      <x:c r="I7" s="57" t="str">
        <x:v>ED Nurse-in-charge</x:v>
      </x:c>
      <x:c r="J7" s="58" t="str">
        <x:v>HIM / ED Manager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20" hidden="0" customWidth="1"/>
    <x:col min="4" max="4" width="17" hidden="0" customWidth="1"/>
    <x:col min="5" max="5" width="12" hidden="0" customWidth="1"/>
    <x:col min="6" max="6" width="12" hidden="0" customWidth="1"/>
    <x:col min="7" max="7" width="16" hidden="0" customWidth="1"/>
    <x:col min="8" max="8" width="16" hidden="0" customWidth="1"/>
    <x:col min="9" max="9" width="24" hidden="0" customWidth="1"/>
    <x:col min="10" max="10" width="35" hidden="0" customWidth="1"/>
  </x:cols>
  <x:sheetData>
    <x:row r="1" ht="28" customHeight="1">
      <x:c r="A1" s="20" t="str">
        <x:v>Laboratory and Radiology Statistics Form</x:v>
      </x:c>
    </x:row>
    <x:row r="3" ht="26" customHeight="1">
      <x:c r="A3" s="27" t="str">
        <x:v>Date</x:v>
      </x:c>
      <x:c r="B3" s="27" t="str">
        <x:v>Service</x:v>
      </x:c>
      <x:c r="C3" s="27" t="str">
        <x:v>Test/Study Group</x:v>
      </x:c>
      <x:c r="D3" s="27" t="str">
        <x:v>Requests Received</x:v>
      </x:c>
      <x:c r="E3" s="27" t="str">
        <x:v>Completed</x:v>
      </x:c>
      <x:c r="F3" s="27" t="str">
        <x:v>Pending</x:v>
      </x:c>
      <x:c r="G3" s="27" t="str">
        <x:v>Critical Results</x:v>
      </x:c>
      <x:c r="H3" s="27" t="str">
        <x:v>Average TAT Hours</x:v>
      </x:c>
      <x:c r="I3" s="27" t="str">
        <x:v>Completed By</x:v>
      </x:c>
      <x:c r="J3" s="27" t="str">
        <x:v>Sent To</x:v>
      </x:c>
    </x:row>
    <x:row r="4">
      <x:c r="A4" s="50" t="str">
        <x:v>2026-07-01</x:v>
      </x:c>
      <x:c r="B4" s="51" t="str">
        <x:v>Laboratory</x:v>
      </x:c>
      <x:c r="C4" s="51" t="str">
        <x:v>Hematology</x:v>
      </x:c>
      <x:c r="D4" s="51" t="n">
        <x:v>118</x:v>
      </x:c>
      <x:c r="E4" s="51" t="n">
        <x:v>112</x:v>
      </x:c>
      <x:c r="F4" s="51" t="n">
        <x:v>6</x:v>
      </x:c>
      <x:c r="G4" s="51" t="n">
        <x:v>4</x:v>
      </x:c>
      <x:c r="H4" s="51" t="n">
        <x:v>3.2</x:v>
      </x:c>
      <x:c r="I4" s="51" t="str">
        <x:v>Lab supervisor</x:v>
      </x:c>
      <x:c r="J4" s="52" t="str">
        <x:v>HIM / Lab Manager / Quality</x:v>
      </x:c>
    </x:row>
    <x:row r="5">
      <x:c r="A5" s="53" t="str">
        <x:v>2026-07-01</x:v>
      </x:c>
      <x:c r="B5" s="54" t="str">
        <x:v>Laboratory</x:v>
      </x:c>
      <x:c r="C5" s="54" t="str">
        <x:v>Biochemistry</x:v>
      </x:c>
      <x:c r="D5" s="54" t="n">
        <x:v>145</x:v>
      </x:c>
      <x:c r="E5" s="54" t="n">
        <x:v>140</x:v>
      </x:c>
      <x:c r="F5" s="54" t="n">
        <x:v>5</x:v>
      </x:c>
      <x:c r="G5" s="54" t="n">
        <x:v>7</x:v>
      </x:c>
      <x:c r="H5" s="54" t="n">
        <x:v>4</x:v>
      </x:c>
      <x:c r="I5" s="54" t="str">
        <x:v>Lab supervisor</x:v>
      </x:c>
      <x:c r="J5" s="55" t="str">
        <x:v>HIM / Lab Manager / Quality</x:v>
      </x:c>
    </x:row>
    <x:row r="6">
      <x:c r="A6" s="53" t="str">
        <x:v>2026-07-01</x:v>
      </x:c>
      <x:c r="B6" s="54" t="str">
        <x:v>Radiology</x:v>
      </x:c>
      <x:c r="C6" s="54" t="str">
        <x:v>X-ray</x:v>
      </x:c>
      <x:c r="D6" s="54" t="n">
        <x:v>62</x:v>
      </x:c>
      <x:c r="E6" s="54" t="n">
        <x:v>59</x:v>
      </x:c>
      <x:c r="F6" s="54" t="n">
        <x:v>3</x:v>
      </x:c>
      <x:c r="G6" s="54" t="n">
        <x:v>0</x:v>
      </x:c>
      <x:c r="H6" s="54" t="n">
        <x:v>2.5</x:v>
      </x:c>
      <x:c r="I6" s="54" t="str">
        <x:v>Radiology supervisor</x:v>
      </x:c>
      <x:c r="J6" s="55" t="str">
        <x:v>HIM / Radiology Manager / Quality</x:v>
      </x:c>
    </x:row>
    <x:row r="7">
      <x:c r="A7" s="56" t="str">
        <x:v>2026-07-01</x:v>
      </x:c>
      <x:c r="B7" s="57" t="str">
        <x:v>Radiology</x:v>
      </x:c>
      <x:c r="C7" s="57" t="str">
        <x:v>CT scan</x:v>
      </x:c>
      <x:c r="D7" s="57" t="n">
        <x:v>18</x:v>
      </x:c>
      <x:c r="E7" s="57" t="n">
        <x:v>16</x:v>
      </x:c>
      <x:c r="F7" s="57" t="n">
        <x:v>2</x:v>
      </x:c>
      <x:c r="G7" s="57" t="n">
        <x:v>1</x:v>
      </x:c>
      <x:c r="H7" s="57" t="n">
        <x:v>5.4</x:v>
      </x:c>
      <x:c r="I7" s="57" t="str">
        <x:v>Radiology supervisor</x:v>
      </x:c>
      <x:c r="J7" s="58" t="str">
        <x:v>HIM / Radiology Manager / Quality</x:v>
      </x:c>
    </x:row>
  </x:sheetData>
  <x:mergeCells>
    <x:mergeCell ref="A1:H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7" hidden="0" customWidth="1"/>
    <x:col min="5" max="5" width="17" hidden="0" customWidth="1"/>
    <x:col min="6" max="6" width="16" hidden="0" customWidth="1"/>
    <x:col min="7" max="7" width="16" hidden="0" customWidth="1"/>
    <x:col min="8" max="8" width="18" hidden="0" customWidth="1"/>
    <x:col min="9" max="9" width="28" hidden="0" customWidth="1"/>
    <x:col min="10" max="10" width="35" hidden="0" customWidth="1"/>
  </x:cols>
  <x:sheetData>
    <x:row r="1" ht="28" customHeight="1">
      <x:c r="A1" s="20" t="str">
        <x:v>Maternity and Birth Statistics Form</x:v>
      </x:c>
    </x:row>
    <x:row r="3" ht="26" customHeight="1">
      <x:c r="A3" s="27" t="str">
        <x:v>Date</x:v>
      </x:c>
      <x:c r="B3" s="27" t="str">
        <x:v>Live Births</x:v>
      </x:c>
      <x:c r="C3" s="27" t="str">
        <x:v>Stillbirths</x:v>
      </x:c>
      <x:c r="D3" s="27" t="str">
        <x:v>Cesarean Sections</x:v>
      </x:c>
      <x:c r="E3" s="27" t="str">
        <x:v>Normal Deliveries</x:v>
      </x:c>
      <x:c r="F3" s="27" t="str">
        <x:v>Maternal Deaths</x:v>
      </x:c>
      <x:c r="G3" s="27" t="str">
        <x:v>Neonatal Deaths</x:v>
      </x:c>
      <x:c r="H3" s="27" t="str">
        <x:v>Birth Weight &lt;2500g</x:v>
      </x:c>
      <x:c r="I3" s="27" t="str">
        <x:v>Completed By</x:v>
      </x:c>
      <x:c r="J3" s="27" t="str">
        <x:v>Sent To</x:v>
      </x:c>
    </x:row>
    <x:row r="4">
      <x:c r="A4" s="98" t="str">
        <x:v>2026-07-01</x:v>
      </x:c>
      <x:c r="B4" s="99" t="n">
        <x:v>5</x:v>
      </x:c>
      <x:c r="C4" s="99" t="n">
        <x:v>0</x:v>
      </x:c>
      <x:c r="D4" s="99" t="n">
        <x:v>2</x:v>
      </x:c>
      <x:c r="E4" s="99" t="n">
        <x:v>3</x:v>
      </x:c>
      <x:c r="F4" s="99" t="n">
        <x:v>0</x:v>
      </x:c>
      <x:c r="G4" s="99" t="n">
        <x:v>0</x:v>
      </x:c>
      <x:c r="H4" s="99" t="n">
        <x:v>1</x:v>
      </x:c>
      <x:c r="I4" s="99" t="str">
        <x:v>Midwife / Maternity ward clerk</x:v>
      </x:c>
      <x:c r="J4" s="100" t="str">
        <x:v>HIM / Maternal child health reporting unit</x:v>
      </x:c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16" hidden="0" customWidth="1"/>
    <x:col min="4" max="4" width="18" hidden="0" customWidth="1"/>
    <x:col min="5" max="5" width="24" hidden="0" customWidth="1"/>
    <x:col min="6" max="6" width="17" hidden="0" customWidth="1"/>
    <x:col min="7" max="7" width="15" hidden="0" customWidth="1"/>
    <x:col min="8" max="8" width="13" hidden="0" customWidth="1"/>
    <x:col min="9" max="9" width="16" hidden="0" customWidth="1"/>
    <x:col min="10" max="10" width="16" hidden="0" customWidth="1"/>
    <x:col min="11" max="11" width="18" hidden="0" customWidth="1"/>
    <x:col min="12" max="12" width="28" hidden="0" customWidth="1"/>
    <x:col min="13" max="13" width="32" hidden="0" customWidth="1"/>
  </x:cols>
  <x:sheetData>
    <x:row r="1" ht="28" customHeight="1">
      <x:c r="A1" s="20" t="str">
        <x:v>Medical Records, Coding and Archive Statistics Form</x:v>
      </x:c>
    </x:row>
    <x:row r="3" ht="26" customHeight="1">
      <x:c r="A3" s="27" t="str">
        <x:v>Date</x:v>
      </x:c>
      <x:c r="B3" s="27" t="str">
        <x:v>Discharged Records Received</x:v>
      </x:c>
      <x:c r="C3" s="27" t="str">
        <x:v>Complete Records</x:v>
      </x:c>
      <x:c r="D3" s="27" t="str">
        <x:v>Incomplete Records</x:v>
      </x:c>
      <x:c r="E3" s="27" t="str">
        <x:v>Returned to Ward/Discharge</x:v>
      </x:c>
      <x:c r="F3" s="27" t="str">
        <x:v>Coding Completed</x:v>
      </x:c>
      <x:c r="G3" s="27" t="str">
        <x:v>Coding Pending</x:v>
      </x:c>
      <x:c r="H3" s="27" t="str">
        <x:v>Queries Sent</x:v>
      </x:c>
      <x:c r="I3" s="27" t="str">
        <x:v>Archived Records</x:v>
      </x:c>
      <x:c r="J3" s="27" t="str">
        <x:v>Completeness %</x:v>
      </x:c>
      <x:c r="K3" s="27" t="str">
        <x:v>Coding Completion %</x:v>
      </x:c>
      <x:c r="L3" s="27" t="str">
        <x:v>Completed By</x:v>
      </x:c>
      <x:c r="M3" s="27" t="str">
        <x:v>Sent To</x:v>
      </x:c>
    </x:row>
    <x:row r="4">
      <x:c r="A4" s="98" t="str">
        <x:v>2026-07-01</x:v>
      </x:c>
      <x:c r="B4" s="99" t="n">
        <x:v>42</x:v>
      </x:c>
      <x:c r="C4" s="99" t="n">
        <x:v>35</x:v>
      </x:c>
      <x:c r="D4" s="99" t="n">
        <x:v>7</x:v>
      </x:c>
      <x:c r="E4" s="99" t="n">
        <x:v>5</x:v>
      </x:c>
      <x:c r="F4" s="99" t="n">
        <x:v>30</x:v>
      </x:c>
      <x:c r="G4" s="99" t="n">
        <x:v>12</x:v>
      </x:c>
      <x:c r="H4" s="99" t="n">
        <x:v>4</x:v>
      </x:c>
      <x:c r="I4" s="99" t="n">
        <x:v>28</x:v>
      </x:c>
      <x:c r="J4" s="110" t="n">
        <x:f>C4/B4</x:f>
        <x:v>0.8333333333333334</x:v>
      </x:c>
      <x:c r="K4" s="110" t="n">
        <x:f>F4/B4</x:f>
        <x:v>0.7142857142857143</x:v>
      </x:c>
      <x:c r="L4" s="99" t="str">
        <x:v>Medical Records Officer / Coder</x:v>
      </x:c>
      <x:c r="M4" s="100" t="str">
        <x:v>HIM Manager / Hospital Administration</x:v>
      </x:c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44" hidden="0" customWidth="1"/>
    <x:col min="4" max="4" width="16" hidden="0" customWidth="1"/>
    <x:col min="5" max="5" width="28" hidden="0" customWidth="1"/>
    <x:col min="6" max="6" width="48" hidden="0" customWidth="1"/>
  </x:cols>
  <x:sheetData>
    <x:row r="1" ht="28" customHeight="1">
      <x:c r="A1" s="20" t="str">
        <x:v>Monthly Hospital Statistics Summary and Analysis</x:v>
      </x:c>
    </x:row>
    <x:row r="3" ht="26" customHeight="1">
      <x:c r="A3" s="27" t="str">
        <x:v>Indicator</x:v>
      </x:c>
      <x:c r="B3" s="27" t="str">
        <x:v>Daily Source / Definition</x:v>
      </x:c>
      <x:c r="C3" s="27" t="str">
        <x:v>Sample Formula / Calculation</x:v>
      </x:c>
      <x:c r="D3" s="27" t="str">
        <x:v>Result</x:v>
      </x:c>
      <x:c r="E3" s="27" t="str">
        <x:v>Completed By</x:v>
      </x:c>
      <x:c r="F3" s="27" t="str">
        <x:v>Sent To</x:v>
      </x:c>
    </x:row>
    <x:row r="4">
      <x:c r="A4" s="50" t="str">
        <x:v>Total admissions</x:v>
      </x:c>
      <x:c r="B4" s="51" t="str">
        <x:v>Sum admission counts for the month</x:v>
      </x:c>
      <x:c r="C4" s="51" t="n">
        <x:f>SUM('Admission Discharge Log'!D4:D8)</x:f>
        <x:v>66</x:v>
      </x:c>
      <x:c r="D4" s="51" t="n">
        <x:f>SUM('Admission Discharge Log'!D4:D8)</x:f>
        <x:v>66</x:v>
      </x:c>
      <x:c r="E4" s="51" t="str">
        <x:v>HIM Statistics Officer</x:v>
      </x:c>
      <x:c r="F4" s="52" t="str">
        <x:v>Hospital Administration / MOH reporting if required</x:v>
      </x:c>
    </x:row>
    <x:row r="5">
      <x:c r="A5" s="53" t="str">
        <x:v>Total discharges</x:v>
      </x:c>
      <x:c r="B5" s="54" t="str">
        <x:v>Sum discharge counts for the month</x:v>
      </x:c>
      <x:c r="C5" s="54" t="n">
        <x:f>SUM('Admission Discharge Log'!E4:E8)</x:f>
        <x:v>52</x:v>
      </x:c>
      <x:c r="D5" s="87" t="n">
        <x:f>SUM('Admission Discharge Log'!E4:E8)</x:f>
        <x:v>52</x:v>
      </x:c>
      <x:c r="E5" s="54" t="str">
        <x:v>HIM Statistics Officer</x:v>
      </x:c>
      <x:c r="F5" s="55" t="str">
        <x:v>Hospital Administration</x:v>
      </x:c>
    </x:row>
    <x:row r="6">
      <x:c r="A6" s="53" t="str">
        <x:v>Total deaths</x:v>
      </x:c>
      <x:c r="B6" s="54" t="str">
        <x:v>Sum death counts for the month</x:v>
      </x:c>
      <x:c r="C6" s="54" t="n">
        <x:f>SUM('Admission Discharge Log'!G4:G8)</x:f>
        <x:v>1</x:v>
      </x:c>
      <x:c r="D6" s="87" t="n">
        <x:f>SUM('Admission Discharge Log'!G4:G8)</x:f>
        <x:v>1</x:v>
      </x:c>
      <x:c r="E6" s="54" t="str">
        <x:v>HIM Statistics Officer</x:v>
      </x:c>
      <x:c r="F6" s="55" t="str">
        <x:v>Quality / Mortality review / Vital statistics as required</x:v>
      </x:c>
    </x:row>
    <x:row r="7">
      <x:c r="A7" s="53" t="str">
        <x:v>Average bed occupancy</x:v>
      </x:c>
      <x:c r="B7" s="54" t="str">
        <x:v>Patient days divided by available bed days</x:v>
      </x:c>
      <x:c r="C7" s="54" t="n">
        <x:f>SUM('Daily Census'!K4:K11)/SUM('Daily Census'!D4:D11)</x:f>
        <x:v>0.7295918367346939</x:v>
      </x:c>
      <x:c r="D7" s="87" t="n">
        <x:f>SUM('Daily Census'!K4:K11)/SUM('Daily Census'!D4:D11)</x:f>
        <x:v>0.7295918367346939</x:v>
      </x:c>
      <x:c r="E7" s="54" t="str">
        <x:v>HIM Statistics Officer</x:v>
      </x:c>
      <x:c r="F7" s="55" t="str">
        <x:v>Hospital Administration</x:v>
      </x:c>
    </x:row>
    <x:row r="8">
      <x:c r="A8" s="53" t="str">
        <x:v>Incomplete record rate</x:v>
      </x:c>
      <x:c r="B8" s="54" t="str">
        <x:v>Incomplete records divided by records received</x:v>
      </x:c>
      <x:c r="C8" s="54" t="n">
        <x:f>'HIM Coding Archive Stats'!D4/'HIM Coding Archive Stats'!B4</x:f>
        <x:v>0.16666666666666666</x:v>
      </x:c>
      <x:c r="D8" s="54" t="n">
        <x:f>'HIM Coding Archive Stats'!D4/'HIM Coding Archive Stats'!B4</x:f>
        <x:v>0.16666666666666666</x:v>
      </x:c>
      <x:c r="E8" s="54" t="str">
        <x:v>Medical Records Officer</x:v>
      </x:c>
      <x:c r="F8" s="55" t="str">
        <x:v>HIM Manager / Quality</x:v>
      </x:c>
    </x:row>
    <x:row r="9">
      <x:c r="A9" s="56" t="str">
        <x:v>Coding completion rate</x:v>
      </x:c>
      <x:c r="B9" s="57" t="str">
        <x:v>Coded records divided by records received</x:v>
      </x:c>
      <x:c r="C9" s="57" t="n">
        <x:f>'HIM Coding Archive Stats'!F4/'HIM Coding Archive Stats'!B4</x:f>
        <x:v>0.7142857142857143</x:v>
      </x:c>
      <x:c r="D9" s="57" t="n">
        <x:f>'HIM Coding Archive Stats'!F4/'HIM Coding Archive Stats'!B4</x:f>
        <x:v>0.7142857142857143</x:v>
      </x:c>
      <x:c r="E9" s="57" t="str">
        <x:v>Medical Coder / HIM</x:v>
      </x:c>
      <x:c r="F9" s="58" t="str">
        <x:v>HIM Manager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5" hidden="0" customWidth="1"/>
    <x:col min="3" max="3" width="28" hidden="0" customWidth="1"/>
    <x:col min="4" max="4" width="18" hidden="0" customWidth="1"/>
    <x:col min="5" max="5" width="55" hidden="0" customWidth="1"/>
  </x:cols>
  <x:sheetData>
    <x:row r="1" ht="28" customHeight="1">
      <x:c r="A1" s="20" t="str">
        <x:v>Annual Hospital Statistics Summary</x:v>
      </x:c>
    </x:row>
    <x:row r="3" ht="26" customHeight="1">
      <x:c r="A3" s="27" t="str">
        <x:v>Indicator</x:v>
      </x:c>
      <x:c r="B3" s="27" t="str">
        <x:v>Monthly Inputs Needed</x:v>
      </x:c>
      <x:c r="C3" s="27" t="str">
        <x:v>Annual Calculation</x:v>
      </x:c>
      <x:c r="D3" s="27" t="str">
        <x:v>Annual Result</x:v>
      </x:c>
      <x:c r="E3" s="27" t="str">
        <x:v>Interpretation</x:v>
      </x:c>
    </x:row>
    <x:row r="4">
      <x:c r="A4" s="50" t="str">
        <x:v>Annual admissions</x:v>
      </x:c>
      <x:c r="B4" s="51" t="str">
        <x:v>Monthly admissions totals</x:v>
      </x:c>
      <x:c r="C4" s="51" t="n">
        <x:f>SUM('Monthly Summary'!D4*12)</x:f>
        <x:v>792</x:v>
      </x:c>
      <x:c r="D4" s="51" t="n">
        <x:f>'Monthly Summary'!D4*12</x:f>
        <x:v>792</x:v>
      </x:c>
      <x:c r="E4" s="52" t="str">
        <x:v>Fictional annualized estimate from sample month.</x:v>
      </x:c>
    </x:row>
    <x:row r="5">
      <x:c r="A5" s="53" t="str">
        <x:v>Annual discharges</x:v>
      </x:c>
      <x:c r="B5" s="54" t="str">
        <x:v>Monthly discharge totals</x:v>
      </x:c>
      <x:c r="C5" s="54" t="n">
        <x:f>SUM('Monthly Summary'!D5*12)</x:f>
        <x:v>624</x:v>
      </x:c>
      <x:c r="D5" s="87" t="n">
        <x:f>'Monthly Summary'!D5*12</x:f>
        <x:v>624</x:v>
      </x:c>
      <x:c r="E5" s="55" t="str">
        <x:v>Fictional annualized estimate from sample month.</x:v>
      </x:c>
    </x:row>
    <x:row r="6">
      <x:c r="A6" s="53" t="str">
        <x:v>Annual deaths</x:v>
      </x:c>
      <x:c r="B6" s="54" t="str">
        <x:v>Monthly death totals</x:v>
      </x:c>
      <x:c r="C6" s="54" t="n">
        <x:f>SUM('Monthly Summary'!D6*12)</x:f>
        <x:v>12</x:v>
      </x:c>
      <x:c r="D6" s="87" t="n">
        <x:f>'Monthly Summary'!D6*12</x:f>
        <x:v>12</x:v>
      </x:c>
      <x:c r="E6" s="55" t="str">
        <x:v>Used for mortality trend review with case-mix context.</x:v>
      </x:c>
    </x:row>
    <x:row r="7">
      <x:c r="A7" s="53" t="str">
        <x:v>Average annual bed occupancy</x:v>
      </x:c>
      <x:c r="B7" s="54" t="str">
        <x:v>Monthly bed occupancy rates</x:v>
      </x:c>
      <x:c r="C7" s="54" t="n">
        <x:f>'Monthly Summary'!D7</x:f>
        <x:v>0.7295918367346939</x:v>
      </x:c>
      <x:c r="D7" s="87" t="n">
        <x:f>'Monthly Summary'!D7</x:f>
        <x:v>0.7295918367346939</x:v>
      </x:c>
      <x:c r="E7" s="55" t="str">
        <x:v>Compare against hospital target and bed management policy.</x:v>
      </x:c>
    </x:row>
    <x:row r="8">
      <x:c r="A8" s="56" t="str">
        <x:v>Annual incomplete record rate</x:v>
      </x:c>
      <x:c r="B8" s="57" t="str">
        <x:v>Monthly incomplete record rates</x:v>
      </x:c>
      <x:c r="C8" s="57" t="n">
        <x:f>'Monthly Summary'!D8</x:f>
        <x:v>0.16666666666666666</x:v>
      </x:c>
      <x:c r="D8" s="57" t="n">
        <x:f>'Monthly Summary'!D8</x:f>
        <x:v>0.16666666666666666</x:v>
      </x:c>
      <x:c r="E8" s="58" t="str">
        <x:v>Used by HIM to monitor documentation quality.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48" hidden="0" customWidth="1"/>
    <x:col min="4" max="4" width="30" hidden="0" customWidth="1"/>
    <x:col min="5" max="5" width="28" hidden="0" customWidth="1"/>
    <x:col min="6" max="6" width="38" hidden="0" customWidth="1"/>
    <x:col min="7" max="7" width="60" hidden="0" customWidth="1"/>
  </x:cols>
  <x:sheetData>
    <x:row r="1" ht="28" customHeight="1">
      <x:c r="A1" s="20" t="str">
        <x:v>Hospital Statistics Data Dictionary</x:v>
      </x:c>
    </x:row>
    <x:row r="3" ht="26" customHeight="1">
      <x:c r="A3" s="27" t="str">
        <x:v>Statistic / Form</x:v>
      </x:c>
      <x:c r="B3" s="27" t="str">
        <x:v>Frequency</x:v>
      </x:c>
      <x:c r="C3" s="27" t="str">
        <x:v>Data Elements</x:v>
      </x:c>
      <x:c r="D3" s="27" t="str">
        <x:v>Completed By</x:v>
      </x:c>
      <x:c r="E3" s="27" t="str">
        <x:v>Validated By</x:v>
      </x:c>
      <x:c r="F3" s="27" t="str">
        <x:v>Sent To</x:v>
      </x:c>
      <x:c r="G3" s="27" t="str">
        <x:v>Educational Note</x:v>
      </x:c>
    </x:row>
    <x:row r="4">
      <x:c r="A4" s="50" t="str">
        <x:v>Daily Census</x:v>
      </x:c>
      <x:c r="B4" s="51" t="str">
        <x:v>Daily</x:v>
      </x:c>
      <x:c r="C4" s="51" t="str">
        <x:v>Available beds, occupied beds, admissions, transfers, discharges, deaths, patient days</x:v>
      </x:c>
      <x:c r="D4" s="51" t="str">
        <x:v>Ward clerk / Nurse-in-charge</x:v>
      </x:c>
      <x:c r="E4" s="51" t="str">
        <x:v>HIM Statistics Officer</x:v>
      </x:c>
      <x:c r="F4" s="51" t="str">
        <x:v>HIM Unit / Hospital Administration</x:v>
      </x:c>
      <x:c r="G4" s="52" t="str">
        <x:v>Base for bed occupancy and utilization indicators.</x:v>
      </x:c>
    </x:row>
    <x:row r="5">
      <x:c r="A5" s="53" t="str">
        <x:v>Admission/Discharge Log</x:v>
      </x:c>
      <x:c r="B5" s="54" t="str">
        <x:v>Daily</x:v>
      </x:c>
      <x:c r="C5" s="54" t="str">
        <x:v>Admissions, discharges, LAMA/DAMA, transfers, deaths</x:v>
      </x:c>
      <x:c r="D5" s="54" t="str">
        <x:v>Registration / Discharge Office</x:v>
      </x:c>
      <x:c r="E5" s="54" t="str">
        <x:v>HIM Statistics Officer</x:v>
      </x:c>
      <x:c r="F5" s="54" t="str">
        <x:v>HIM / Administration</x:v>
      </x:c>
      <x:c r="G5" s="55" t="str">
        <x:v>Tracks patient flow and service workload.</x:v>
      </x:c>
    </x:row>
    <x:row r="6">
      <x:c r="A6" s="53" t="str">
        <x:v>Mortality Statistics</x:v>
      </x:c>
      <x:c r="B6" s="54" t="str">
        <x:v>Daily/Monthly</x:v>
      </x:c>
      <x:c r="C6" s="54" t="str">
        <x:v>Cause of death, age group, sex, ward, autopsy, coding status</x:v>
      </x:c>
      <x:c r="D6" s="54" t="str">
        <x:v>Physician + Medical Coder</x:v>
      </x:c>
      <x:c r="E6" s="54" t="str">
        <x:v>HIM / Mortality review committee</x:v>
      </x:c>
      <x:c r="F6" s="54" t="str">
        <x:v>Vital statistics / Quality / Administration as required</x:v>
      </x:c>
      <x:c r="G6" s="55" t="str">
        <x:v>Requires medically certified cause-of-death documentation.</x:v>
      </x:c>
    </x:row>
    <x:row r="7">
      <x:c r="A7" s="53" t="str">
        <x:v>Surgery Statistics</x:v>
      </x:c>
      <x:c r="B7" s="54" t="str">
        <x:v>Daily/Monthly</x:v>
      </x:c>
      <x:c r="C7" s="54" t="str">
        <x:v>Specialty, procedure, urgency, complications, deaths, OR hours</x:v>
      </x:c>
      <x:c r="D7" s="54" t="str">
        <x:v>OR Nurse + Surgeon</x:v>
      </x:c>
      <x:c r="E7" s="54" t="str">
        <x:v>OR Manager / HIM</x:v>
      </x:c>
      <x:c r="F7" s="54" t="str">
        <x:v>HIM / Quality / OR Management</x:v>
      </x:c>
      <x:c r="G7" s="55" t="str">
        <x:v>Supports theatre utilization and surgical quality monitoring.</x:v>
      </x:c>
    </x:row>
    <x:row r="8">
      <x:c r="A8" s="53" t="str">
        <x:v>OPD Statistics</x:v>
      </x:c>
      <x:c r="B8" s="54" t="str">
        <x:v>Daily/Monthly</x:v>
      </x:c>
      <x:c r="C8" s="54" t="str">
        <x:v>New visits, follow-ups, no-shows, referrals, admissions</x:v>
      </x:c>
      <x:c r="D8" s="54" t="str">
        <x:v>Clinic clerk / Nurse</x:v>
      </x:c>
      <x:c r="E8" s="54" t="str">
        <x:v>OPD Manager / HIM</x:v>
      </x:c>
      <x:c r="F8" s="54" t="str">
        <x:v>HIM / Administration</x:v>
      </x:c>
      <x:c r="G8" s="55" t="str">
        <x:v>Tracks outpatient workload.</x:v>
      </x:c>
    </x:row>
    <x:row r="9">
      <x:c r="A9" s="53" t="str">
        <x:v>Emergency Statistics</x:v>
      </x:c>
      <x:c r="B9" s="54" t="str">
        <x:v>Daily/Monthly</x:v>
      </x:c>
      <x:c r="C9" s="54" t="str">
        <x:v>Triage, visits, admissions, transfers, deaths, waiting time</x:v>
      </x:c>
      <x:c r="D9" s="54" t="str">
        <x:v>ED nurse-in-charge</x:v>
      </x:c>
      <x:c r="E9" s="54" t="str">
        <x:v>ED Manager / HIM</x:v>
      </x:c>
      <x:c r="F9" s="54" t="str">
        <x:v>HIM / Quality / ED Management</x:v>
      </x:c>
      <x:c r="G9" s="55" t="str">
        <x:v>Supports emergency workload and access monitoring.</x:v>
      </x:c>
    </x:row>
    <x:row r="10">
      <x:c r="A10" s="53" t="str">
        <x:v>Diagnostic Services</x:v>
      </x:c>
      <x:c r="B10" s="54" t="str">
        <x:v>Daily/Monthly</x:v>
      </x:c>
      <x:c r="C10" s="54" t="str">
        <x:v>Requests, completed, pending, critical results, turnaround time</x:v>
      </x:c>
      <x:c r="D10" s="54" t="str">
        <x:v>Lab/Radiology supervisor</x:v>
      </x:c>
      <x:c r="E10" s="54" t="str">
        <x:v>Department head / HIM</x:v>
      </x:c>
      <x:c r="F10" s="54" t="str">
        <x:v>HIM / Quality / Department Manager</x:v>
      </x:c>
      <x:c r="G10" s="55" t="str">
        <x:v>Tracks diagnostic services volume and performance.</x:v>
      </x:c>
    </x:row>
    <x:row r="11">
      <x:c r="A11" s="53" t="str">
        <x:v>Maternity/Birth Statistics</x:v>
      </x:c>
      <x:c r="B11" s="54" t="str">
        <x:v>Daily/Monthly/Annual</x:v>
      </x:c>
      <x:c r="C11" s="54" t="str">
        <x:v>Live births, stillbirths, C-section, maternal/neonatal deaths</x:v>
      </x:c>
      <x:c r="D11" s="54" t="str">
        <x:v>Midwife / Maternity ward clerk</x:v>
      </x:c>
      <x:c r="E11" s="54" t="str">
        <x:v>OB Manager / HIM</x:v>
      </x:c>
      <x:c r="F11" s="54" t="str">
        <x:v>Maternal child health / HIM / Administration</x:v>
      </x:c>
      <x:c r="G11" s="55" t="str">
        <x:v>Supports birth, maternal and neonatal statistics.</x:v>
      </x:c>
    </x:row>
    <x:row r="12">
      <x:c r="A12" s="56" t="str">
        <x:v>HIM Coding Archive Stats</x:v>
      </x:c>
      <x:c r="B12" s="57" t="str">
        <x:v>Daily/Monthly</x:v>
      </x:c>
      <x:c r="C12" s="57" t="str">
        <x:v>Records received, incomplete, returned, coded, pending, archived</x:v>
      </x:c>
      <x:c r="D12" s="57" t="str">
        <x:v>Medical Records Officer / Coder</x:v>
      </x:c>
      <x:c r="E12" s="57" t="str">
        <x:v>HIM Manager</x:v>
      </x:c>
      <x:c r="F12" s="57" t="str">
        <x:v>HIM / Quality / Administration</x:v>
      </x:c>
      <x:c r="G12" s="58" t="str">
        <x:v>Tracks record completeness and coding readiness.</x:v>
      </x:c>
    </x:row>
  </x:sheetData>
  <x:mergeCells>
    <x:mergeCell ref="A1:H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8" hidden="0" customWidth="1"/>
    <x:col min="3" max="3" width="22" hidden="0" customWidth="1"/>
    <x:col min="4" max="4" width="58" hidden="0" customWidth="1"/>
    <x:col min="5" max="5" width="65" hidden="0" customWidth="1"/>
  </x:cols>
  <x:sheetData>
    <x:row r="1" ht="28" customHeight="1">
      <x:c r="A1" s="20" t="str">
        <x:v>Medical Record Retention and Disposition Control Matrix</x:v>
      </x:c>
    </x:row>
    <x:row r="3" ht="26" customHeight="1">
      <x:c r="A3" s="27" t="str">
        <x:v>Record / Information Type</x:v>
      </x:c>
      <x:c r="B3" s="27" t="str">
        <x:v>Typical retention rule to verify locally</x:v>
      </x:c>
      <x:c r="C3" s="27" t="str">
        <x:v>Keep permanently?</x:v>
      </x:c>
      <x:c r="D3" s="27" t="str">
        <x:v>Special handling / disposition guidance</x:v>
      </x:c>
      <x:c r="E3" s="27" t="str">
        <x:v>Source URL</x:v>
      </x:c>
    </x:row>
    <x:row r="4">
      <x:c r="A4" s="50" t="str">
        <x:v>Adult inpatient/outpatient record</x:v>
      </x:c>
      <x:c r="B4" s="51" t="str">
        <x:v>At least 5 years under 42 CFR 482.24 in the U.S.; many jurisdictions require longer. NHS schedules may differ.</x:v>
      </x:c>
      <x:c r="C4" s="51" t="str">
        <x:v>No, unless local policy says permanent</x:v>
      </x:c>
      <x:c r="D4" s="51" t="str">
        <x:v>Destroy securely only after retention review, legal hold check, audit sign-off and destruction register update.</x:v>
      </x:c>
      <x:c r="E4" s="52" t="str">
        <x:v>https://www.ecfr.gov/current/title-42/part-482/section-482.24</x:v>
      </x:c>
    </x:row>
    <x:row r="5">
      <x:c r="A5" s="53" t="str">
        <x:v>Children / pediatric records</x:v>
      </x:c>
      <x:c r="B5" s="54" t="str">
        <x:v>Usually retained until a defined period after the patient reaches adulthood; verify national/local retention schedule.</x:v>
      </x:c>
      <x:c r="C5" s="54" t="str">
        <x:v>Sometimes longer</x:v>
      </x:c>
      <x:c r="D5" s="54" t="str">
        <x:v>Keep in active/inactive archive with date-of-birth flag and no destruction until child-specific rule met.</x:v>
      </x:c>
      <x:c r="E5" s="55" t="str">
        <x:v>https://transform.england.nhs.uk/information-governance/guidance/records-management-code/</x:v>
      </x:c>
    </x:row>
    <x:row r="6">
      <x:c r="A6" s="53" t="str">
        <x:v>Maternity / obstetric records</x:v>
      </x:c>
      <x:c r="B6" s="54" t="str">
        <x:v>Often retained for long periods because mother and child records may both be relevant; verify official schedule.</x:v>
      </x:c>
      <x:c r="C6" s="54" t="str">
        <x:v>Sometimes longer</x:v>
      </x:c>
      <x:c r="D6" s="54" t="str">
        <x:v>Link maternal and newborn records; restrict destruction unless both retention requirements are met.</x:v>
      </x:c>
      <x:c r="E6" s="55" t="str">
        <x:v>https://transform.england.nhs.uk/information-governance/guidance/records-management-code/</x:v>
      </x:c>
    </x:row>
    <x:row r="7">
      <x:c r="A7" s="53" t="str">
        <x:v>Deceased patient records</x:v>
      </x:c>
      <x:c r="B7" s="54" t="str">
        <x:v>Retention after death varies by country and policy; death certificate and cause-of-death documentation may have separate rules.</x:v>
      </x:c>
      <x:c r="C7" s="54" t="str">
        <x:v>Vital statistics records may be permanent in government systems</x:v>
      </x:c>
      <x:c r="D7" s="54" t="str">
        <x:v>Flag deceased status, protect access, preserve death documentation and mortality coding evidence according to policy.</x:v>
      </x:c>
      <x:c r="E7" s="55" t="str">
        <x:v>https://www.cdc.gov/nchs/data/dvs/death11-03final-acc.pdf</x:v>
      </x:c>
    </x:row>
    <x:row r="8">
      <x:c r="A8" s="53" t="str">
        <x:v>Cancer / oncology registry data</x:v>
      </x:c>
      <x:c r="B8" s="54" t="str">
        <x:v>Registry data may have long-term or permanent public health value; verify registry rules.</x:v>
      </x:c>
      <x:c r="C8" s="54" t="str">
        <x:v>Often permanent in registries</x:v>
      </x:c>
      <x:c r="D8" s="54" t="str">
        <x:v>Do not destroy registry/submission evidence without registry policy confirmation.</x:v>
      </x:c>
      <x:c r="E8" s="55" t="str">
        <x:v>https://www.who.int/publications/i/item/9789241565546</x:v>
      </x:c>
    </x:row>
    <x:row r="9">
      <x:c r="A9" s="53" t="str">
        <x:v>Birth register / delivery register</x:v>
      </x:c>
      <x:c r="B9" s="54" t="str">
        <x:v>Vital event records are often long-term or permanent in official registry systems.</x:v>
      </x:c>
      <x:c r="C9" s="54" t="str">
        <x:v>Often permanent</x:v>
      </x:c>
      <x:c r="D9" s="54" t="str">
        <x:v>Keep with official register controls; local medical chart retention may differ from registry retention.</x:v>
      </x:c>
      <x:c r="E9" s="55" t="str">
        <x:v>https://www.cdc.gov/nchs/</x:v>
      </x:c>
    </x:row>
    <x:row r="10">
      <x:c r="A10" s="53" t="str">
        <x:v>Laboratory reports</x:v>
      </x:c>
      <x:c r="B10" s="54" t="str">
        <x:v>Retention varies; some lab records/specimens have separate laboratory rules.</x:v>
      </x:c>
      <x:c r="C10" s="54" t="str">
        <x:v>Usually no</x:v>
      </x:c>
      <x:c r="D10" s="54" t="str">
        <x:v>Coordinate with lab policy, LIS audit trails, specimen retention and medico-legal holds.</x:v>
      </x:c>
      <x:c r="E10" s="55" t="str">
        <x:v>https://www.ecfr.gov/current/title-42/chapter-IV/subchapter-G/part-493</x:v>
      </x:c>
    </x:row>
    <x:row r="11">
      <x:c r="A11" s="53" t="str">
        <x:v>Radiology images/reports</x:v>
      </x:c>
      <x:c r="B11" s="54" t="str">
        <x:v>Retention varies by modality, age and law.</x:v>
      </x:c>
      <x:c r="C11" s="54" t="str">
        <x:v>Usually no</x:v>
      </x:c>
      <x:c r="D11" s="54" t="str">
        <x:v>Coordinate PACS retention, image lifecycle, report archive and legal hold before purge.</x:v>
      </x:c>
      <x:c r="E11" s="55" t="str">
        <x:v>https://www.dicomstandard.org/</x:v>
      </x:c>
    </x:row>
    <x:row r="12">
      <x:c r="A12" s="56" t="str">
        <x:v>Destruction register</x:v>
      </x:c>
      <x:c r="B12" s="57" t="str">
        <x:v>Retain as evidence of lawful destruction.</x:v>
      </x:c>
      <x:c r="C12" s="57" t="str">
        <x:v>Often long-term/permanent by policy</x:v>
      </x:c>
      <x:c r="D12" s="57" t="str">
        <x:v>Record item, series, date range, authorizing officer, method, vendor certificate and witness.</x:v>
      </x:c>
      <x:c r="E12" s="58" t="str">
        <x:v>https://transform.england.nhs.uk/information-governance/guidance/records-management-code/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48" hidden="0" customWidth="1"/>
  </x:cols>
  <x:sheetData>
    <x:row r="1" ht="28" customHeight="1">
      <x:c r="A1" s="4" t="str">
        <x:v>Hospital Statistics Analytics Dashboard</x:v>
      </x:c>
      <x:c r="B1" s="4"/>
      <x:c r="C1" s="4"/>
    </x:row>
    <x:row r="2">
      <x:c r="A2" s="114" t="str">
        <x:v>Metric</x:v>
      </x:c>
      <x:c r="B2" s="114" t="str">
        <x:v>Value</x:v>
      </x:c>
      <x:c r="C2" s="114" t="str">
        <x:v>Interpretation</x:v>
      </x:c>
    </x:row>
    <x:row r="3">
      <x:c r="A3" s="126" t="str">
        <x:v>Admissions</x:v>
      </x:c>
      <x:c r="B3" s="127" t="n">
        <x:f>'Monthly Summary'!D4</x:f>
        <x:v>66</x:v>
      </x:c>
      <x:c r="C3" s="128" t="str">
        <x:v>Total sample admissions from daily log</x:v>
      </x:c>
    </x:row>
    <x:row r="4">
      <x:c r="A4" s="129" t="str">
        <x:v>Discharges</x:v>
      </x:c>
      <x:c r="B4" s="45" t="n">
        <x:f>'Monthly Summary'!D5</x:f>
        <x:v>52</x:v>
      </x:c>
      <x:c r="C4" s="130" t="str">
        <x:v>Total sample discharges from daily log</x:v>
      </x:c>
    </x:row>
    <x:row r="5">
      <x:c r="A5" s="129" t="str">
        <x:v>Deaths</x:v>
      </x:c>
      <x:c r="B5" s="45" t="n">
        <x:f>'Monthly Summary'!D6</x:f>
        <x:v>1</x:v>
      </x:c>
      <x:c r="C5" s="130" t="str">
        <x:v>Total sample deaths from daily log</x:v>
      </x:c>
    </x:row>
    <x:row r="6">
      <x:c r="A6" s="129" t="str">
        <x:v>Bed occupancy</x:v>
      </x:c>
      <x:c r="B6" s="150" t="n">
        <x:f>'Monthly Summary'!D7</x:f>
        <x:v>0.7295918367346939</x:v>
      </x:c>
      <x:c r="C6" s="130" t="str">
        <x:v>Patient days divided by available beds</x:v>
      </x:c>
    </x:row>
    <x:row r="7">
      <x:c r="A7" s="129" t="str">
        <x:v>Incomplete record rate</x:v>
      </x:c>
      <x:c r="B7" s="150" t="n">
        <x:f>'Monthly Summary'!D8</x:f>
        <x:v>0.16666666666666666</x:v>
      </x:c>
      <x:c r="C7" s="130" t="str">
        <x:v>Incomplete records / records received</x:v>
      </x:c>
    </x:row>
    <x:row r="8">
      <x:c r="A8" s="131" t="str">
        <x:v>Coding completion rate</x:v>
      </x:c>
      <x:c r="B8" s="151" t="n">
        <x:f>'Monthly Summary'!D9</x:f>
        <x:v>0.7142857142857143</x:v>
      </x:c>
      <x:c r="C8" s="133" t="str">
        <x:v>Coded records / records received</x:v>
      </x:c>
    </x:row>
  </x:sheetData>
  <x:mergeCells>
    <x:mergeCell ref="A1:C1"/>
  </x:mergeCells>
  <x:pageMargins left="0.7" right="0.7" top="0.75" bottom="0.75" header="0.3" footer="0.3"/>
  <x:drawing xmlns:r="http://schemas.openxmlformats.org/officeDocument/2006/relationships" r:id="R5cd806274bd34939"/>
</x:worksheet>
</file>